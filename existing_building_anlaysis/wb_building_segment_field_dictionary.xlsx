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046bb44ae43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696284853f44d62"/>
    <x:sheet xmlns:r="http://schemas.openxmlformats.org/officeDocument/2006/relationships" name="Field Dictionary" sheetId="2" r:id="Rbe3c5170c65e49aa"/>
    <x:sheet xmlns:r="http://schemas.openxmlformats.org/officeDocument/2006/relationships" name="Priority Classes" sheetId="3" r:id="Rc5d24d1369cb4260"/>
    <x:sheet xmlns:r="http://schemas.openxmlformats.org/officeDocument/2006/relationships" name="Raw Juba Fields" sheetId="4" r:id="R6906fc1f209d4316"/>
    <x:sheet xmlns:r="http://schemas.openxmlformats.org/officeDocument/2006/relationships" name="Sources &amp; Notes" sheetId="5" r:id="R1381c8255ad9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i/>
      <x:sz val="11"/>
      <x:color rgb="FF1F2937"/>
      <x:name val="Carlito"/>
    </x:font>
    <x:font>
      <x:sz val="11"/>
      <x:color rgb="FF1F4E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F4F7FA"/>
      </x:patternFill>
    </x:fill>
  </x:fills>
  <x:borders count="18">
    <x:border/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top style="thin">
        <x:color rgb="FFD9E2F3"/>
      </x:top>
      <x:bottom style="thin">
        <x:color rgb="FFB4C6E7"/>
      </x:bottom>
    </x:border>
    <x:border>
      <x:top style="thin">
        <x:color rgb="FFD9E2F3"/>
      </x:top>
      <x:bottom style="thin">
        <x:color rgb="FFB4C6E7"/>
      </x:bottom>
    </x:border>
    <x:border>
      <x:right style="thin">
        <x:color rgb="FFD9E2F3"/>
      </x:right>
      <x:top style="thin">
        <x:color rgb="FFD9E2F3"/>
      </x:top>
      <x:bottom style="thin">
        <x:color rgb="FFB4C6E7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2" fillId="6" borderId="13" xfId="0" applyNumberFormat="1" applyFont="1" applyFill="1" applyBorder="1" applyAlignment="1">
      <x:alignment wrapText="1"/>
    </x:xf>
    <x:xf numFmtId="0" fontId="2" fillId="6" borderId="15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d65c2e37a40f8" /><Relationship Type="http://schemas.openxmlformats.org/officeDocument/2006/relationships/theme" Target="/xl/theme/theme1.xml" Id="Rcfac2c2724dd4e60" /><Relationship Type="http://schemas.openxmlformats.org/officeDocument/2006/relationships/sharedStrings" Target="/xl/sharedStrings.xml" Id="R7b5a7e9c90d34ce8" /><Relationship Type="http://schemas.openxmlformats.org/officeDocument/2006/relationships/worksheet" Target="/xl/worksheets/sheet1.xml" Id="R2696284853f44d62" /><Relationship Type="http://schemas.openxmlformats.org/officeDocument/2006/relationships/worksheet" Target="/xl/worksheets/sheet2.xml" Id="Rbe3c5170c65e49aa" /><Relationship Type="http://schemas.openxmlformats.org/officeDocument/2006/relationships/worksheet" Target="/xl/worksheets/sheet3.xml" Id="Rc5d24d1369cb4260" /><Relationship Type="http://schemas.openxmlformats.org/officeDocument/2006/relationships/worksheet" Target="/xl/worksheets/sheet4.xml" Id="R6906fc1f209d4316" /><Relationship Type="http://schemas.openxmlformats.org/officeDocument/2006/relationships/worksheet" Target="/xl/worksheets/sheet5.xml" Id="R1381c8255ad948b8" /></Relationships>
</file>

<file path=xl/tables/table1.xml><?xml version="1.0" encoding="utf-8"?>
<x:table xmlns:x="http://schemas.openxmlformats.org/spreadsheetml/2006/main" id="1" name="SegmentFieldDictionary" displayName="SegmentFieldDictionary" ref="A4:E61" headerRowCount="1" totalsRowCount="0" totalsRowShown="0">
  <x:autoFilter ref="A4:E61"/>
  <x:tableColumns count="5">
    <x:tableColumn id="1" name="Section"/>
    <x:tableColumn id="2" name="Field"/>
    <x:tableColumn id="3" name="Data type / unit"/>
    <x:tableColumn id="4" name="Definition"/>
    <x:tableColumn id="5" name="Calculation, rule, or eligibi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orityClassReference" displayName="PriorityClassReference" ref="A4:D11" headerRowCount="1" totalsRowCount="0" totalsRowShown="0">
  <x:tableColumns count="4">
    <x:tableColumn id="1" name="Evaluation order"/>
    <x:tableColumn id="2" name="Class value"/>
    <x:tableColumn id="3" name="Meaning"/>
    <x:tableColumn id="4" name="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JubaFields" displayName="RawJubaFields" ref="A4:C11" headerRowCount="1" totalsRowCount="0" totalsRowShown="0">
  <x:tableColumns count="3">
    <x:tableColumn id="1" name="Field"/>
    <x:tableColumn id="2" name="Data type / unit"/>
    <x:tableColumn id="3" name="Defini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Notes" displayName="SourceNotes" ref="A3:C11" headerRowCount="1" totalsRowCount="0" totalsRowShown="0">
  <x:tableColumns count="3">
    <x:tableColumn id="1" name="Topic"/>
    <x:tableColumn id="2" name="Reference"/>
    <x:tableColumn id="3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ab722aee7a4f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13ff28cc8c40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94c7c364ad4c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7286a64bbd48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36" hidden="0" customWidth="1"/>
    <x:col min="4" max="4" width="36" hidden="0" customWidth="1"/>
    <x:col min="5" max="5" width="10" hidden="0" customWidth="1"/>
    <x:col min="6" max="6" width="33" hidden="0" customWidth="1"/>
  </x:cols>
  <x:sheetData>
    <x:row r="1" ht="34" customHeight="1">
      <x:c r="A1" s="3" t="str">
        <x:v>WB Building Analysis — Segment Field Dictionary</x:v>
      </x:c>
      <x:c r="B1" s="3" t="str">
        <x:v>WB Building Analysis — Segment Field Dictionary</x:v>
      </x:c>
      <x:c r="C1" s="3" t="str">
        <x:v>WB Building Analysis — Segment Field Dictionary</x:v>
      </x:c>
      <x:c r="D1" s="3" t="str">
        <x:v>WB Building Analysis — Segment Field Dictionary</x:v>
      </x:c>
      <x:c r="E1" s="3" t="str">
        <x:v>WB Building Analysis — Segment Field Dictionary</x:v>
      </x:c>
      <x:c r="F1" s="3" t="str">
        <x:v>WB Building Analysis — Segment Field Dictionary</x:v>
      </x:c>
    </x:row>
    <x:row r="3" ht="58" customHeight="1">
      <x:c r="A3" s="12" t="str">
        <x:v>Workbook purpose</x:v>
      </x:c>
      <x:c r="B3" s="13" t="str">
        <x:v>Readable reference for segment-level fields created by the WB building analysis project</x:v>
      </x:c>
    </x:row>
    <x:row r="4" ht="58" customHeight="1">
      <x:c r="A4" s="14" t="str">
        <x:v>Primary layer</x:v>
      </x:c>
      <x:c r="B4" s="15" t="str">
        <x:v>outputs/cities/&lt;city&gt;/analysis/segment_meta_analysis.gpkg or .parquet</x:v>
      </x:c>
    </x:row>
    <x:row r="5" ht="28" customHeight="1">
      <x:c r="A5" s="14" t="str">
        <x:v>Documented fields</x:v>
      </x:c>
      <x:c r="B5" s="15" t="n">
        <x:f>COUNTA('Field Dictionary'!B5:B61)</x:f>
        <x:v>57</x:v>
      </x:c>
    </x:row>
    <x:row r="6" ht="28" customHeight="1">
      <x:c r="A6" s="14" t="str">
        <x:v>Portfolio coverage</x:v>
      </x:c>
      <x:c r="B6" s="15" t="str">
        <x:v>93 cities</x:v>
      </x:c>
    </x:row>
    <x:row r="7" ht="28" customHeight="1">
      <x:c r="A7" s="14" t="str">
        <x:v>Raster support</x:v>
      </x:c>
      <x:c r="B7" s="15" t="str">
        <x:v>30 m cell-centre assignment</x:v>
      </x:c>
    </x:row>
    <x:row r="8" ht="28" customHeight="1">
      <x:c r="A8" s="16" t="str">
        <x:v>Updated</x:v>
      </x:c>
      <x:c r="B8" s="17" t="str">
        <x:v>2026-08-31</x:v>
      </x:c>
    </x:row>
    <x:row r="10" ht="28" customHeight="1">
      <x:c r="A10" s="27" t="str">
        <x:v>How to use</x:v>
      </x:c>
      <x:c r="B10" s="28" t="str">
        <x:v>Sheet</x:v>
      </x:c>
      <x:c r="C10" s="28" t="str">
        <x:v>What it contains</x:v>
      </x:c>
      <x:c r="D10" s="28" t="str">
        <x:v>Best for</x:v>
      </x:c>
      <x:c r="E10" s="28" t="str">
        <x:v>Rows</x:v>
      </x:c>
      <x:c r="F10" s="29" t="str">
        <x:v>Notes</x:v>
      </x:c>
    </x:row>
    <x:row r="11" ht="44" customHeight="1">
      <x:c r="A11" s="30" t="n">
        <x:v>1</x:v>
      </x:c>
      <x:c r="B11" s="25" t="str">
        <x:v>Field Dictionary</x:v>
      </x:c>
      <x:c r="C11" s="25" t="str">
        <x:v>All 57 fields, grouped by topic</x:v>
      </x:c>
      <x:c r="D11" s="25" t="str">
        <x:v>Searching, filtering, and data interpretation</x:v>
      </x:c>
      <x:c r="E11" s="25" t="n">
        <x:v>57</x:v>
      </x:c>
      <x:c r="F11" s="31" t="str">
        <x:v>Filter buttons are enabled</x:v>
      </x:c>
    </x:row>
    <x:row r="12" ht="44" customHeight="1">
      <x:c r="A12" s="30" t="n">
        <x:v>2</x:v>
      </x:c>
      <x:c r="B12" s="25" t="str">
        <x:v>Priority Classes</x:v>
      </x:c>
      <x:c r="C12" s="25" t="str">
        <x:v>Allowed meta_priority_class values and ordered rules</x:v>
      </x:c>
      <x:c r="D12" s="25" t="str">
        <x:v>Triage and hotspot interpretation</x:v>
      </x:c>
      <x:c r="E12" s="25" t="n">
        <x:v>7</x:v>
      </x:c>
      <x:c r="F12" s="31" t="str">
        <x:v>Rules are evaluated in listed order</x:v>
      </x:c>
    </x:row>
    <x:row r="13" ht="44" customHeight="1">
      <x:c r="A13" s="30" t="n">
        <x:v>3</x:v>
      </x:c>
      <x:c r="B13" s="25" t="str">
        <x:v>Raw Juba Fields</x:v>
      </x:c>
      <x:c r="C13" s="25" t="str">
        <x:v>Fields in the prepared expanded Juba segment layer</x:v>
      </x:c>
      <x:c r="D13" s="25" t="str">
        <x:v>Understanding the base Juba input</x:v>
      </x:c>
      <x:c r="E13" s="25" t="n">
        <x:v>7</x:v>
      </x:c>
      <x:c r="F13" s="31" t="str">
        <x:v>ID_SEG is renamed SOURCE_ID_SEG</x:v>
      </x:c>
    </x:row>
    <x:row r="14" ht="44" customHeight="1">
      <x:c r="A14" s="32" t="n">
        <x:v>4</x:v>
      </x:c>
      <x:c r="B14" s="33" t="str">
        <x:v>Sources &amp; Notes</x:v>
      </x:c>
      <x:c r="C14" s="33" t="str">
        <x:v>Method caveats and source-code locations</x:v>
      </x:c>
      <x:c r="D14" s="33" t="str">
        <x:v>Audit and reproducibility</x:v>
      </x:c>
      <x:c r="E14" s="33" t="n">
        <x:v>8</x:v>
      </x:c>
      <x:c r="F14" s="34" t="str">
        <x:v>Local project paths</x:v>
      </x:c>
    </x:row>
    <x:row r="16">
      <x:c r="A16" s="38" t="str">
        <x:v>Important: WSF-only impervious area is a screening signal, not proof of missing buildings. Roads, paved compounds, date differences, and source errors can also produce apparent gaps.</x:v>
      </x:c>
      <x:c r="B16" s="38" t="str">
        <x:v>Important: WSF-only impervious area is a screening signal, not proof of missing buildings. Roads, paved compounds, date differences, and source errors can also produce apparent gaps.</x:v>
      </x:c>
      <x:c r="C16" s="38" t="str">
        <x:v>Important: WSF-only impervious area is a screening signal, not proof of missing buildings. Roads, paved compounds, date differences, and source errors can also produce apparent gaps.</x:v>
      </x:c>
      <x:c r="D16" s="38" t="str">
        <x:v>Important: WSF-only impervious area is a screening signal, not proof of missing buildings. Roads, paved compounds, date differences, and source errors can also produce apparent gaps.</x:v>
      </x:c>
      <x:c r="E16" s="38" t="str">
        <x:v>Important: WSF-only impervious area is a screening signal, not proof of missing buildings. Roads, paved compounds, date differences, and source errors can also produce apparent gaps.</x:v>
      </x:c>
      <x:c r="F16" s="38" t="str">
        <x:v>Important: WSF-only impervious area is a screening signal, not proof of missing buildings. Roads, paved compounds, date differences, and source errors can also produce apparent gaps.</x:v>
      </x:c>
    </x:row>
    <x:row r="17">
      <x:c r="A17" s="38" t="str">
        <x:v>Important: WSF-only impervious area is a screening signal, not proof of missing buildings. Roads, paved compounds, date differences, and source errors can also produce apparent gaps.</x:v>
      </x:c>
      <x:c r="B17" s="38" t="str">
        <x:v>Important: WSF-only impervious area is a screening signal, not proof of missing buildings. Roads, paved compounds, date differences, and source errors can also produce apparent gaps.</x:v>
      </x:c>
      <x:c r="C17" s="38" t="str">
        <x:v>Important: WSF-only impervious area is a screening signal, not proof of missing buildings. Roads, paved compounds, date differences, and source errors can also produce apparent gaps.</x:v>
      </x:c>
      <x:c r="D17" s="38" t="str">
        <x:v>Important: WSF-only impervious area is a screening signal, not proof of missing buildings. Roads, paved compounds, date differences, and source errors can also produce apparent gaps.</x:v>
      </x:c>
      <x:c r="E17" s="38" t="str">
        <x:v>Important: WSF-only impervious area is a screening signal, not proof of missing buildings. Roads, paved compounds, date differences, and source errors can also produce apparent gaps.</x:v>
      </x:c>
      <x:c r="F17" s="38" t="str">
        <x:v>Important: WSF-only impervious area is a screening signal, not proof of missing buildings. Roads, paved compounds, date differences, and source errors can also produce apparent gaps.</x:v>
      </x:c>
    </x:row>
  </x:sheetData>
  <x:mergeCells>
    <x:mergeCell ref="A1:F1"/>
    <x:mergeCell ref="A16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5" hidden="0" customWidth="1"/>
    <x:col min="3" max="3" width="21" hidden="0" customWidth="1"/>
    <x:col min="4" max="4" width="58" hidden="0" customWidth="1"/>
    <x:col min="5" max="5" width="68" hidden="0" customWidth="1"/>
  </x:cols>
  <x:sheetData>
    <x:row r="1" ht="34" customHeight="1">
      <x:c r="A1" s="3" t="str">
        <x:v>Segment Meta-Analysis Fields</x:v>
      </x:c>
      <x:c r="B1" s="3" t="str">
        <x:v>Segment Meta-Analysis Fields</x:v>
      </x:c>
      <x:c r="C1" s="3" t="str">
        <x:v>Segment Meta-Analysis Fields</x:v>
      </x:c>
      <x:c r="D1" s="3" t="str">
        <x:v>Segment Meta-Analysis Fields</x:v>
      </x:c>
      <x:c r="E1" s="3" t="str">
        <x:v>Segment Meta-Analysis Fields</x:v>
      </x:c>
    </x:row>
    <x:row r="2">
      <x:c r="A2" s="41" t="str">
        <x:v>Primary layer: segment_meta_analysis • Percent fields store values on a 0–100 scale • Percentile indexes use a 0–1 scale</x:v>
      </x:c>
      <x:c r="B2" s="41" t="str">
        <x:v>Primary layer: segment_meta_analysis • Percent fields store values on a 0–100 scale • Percentile indexes use a 0–1 scale</x:v>
      </x:c>
      <x:c r="C2" s="41" t="str">
        <x:v>Primary layer: segment_meta_analysis • Percent fields store values on a 0–100 scale • Percentile indexes use a 0–1 scale</x:v>
      </x:c>
      <x:c r="D2" s="41" t="str">
        <x:v>Primary layer: segment_meta_analysis • Percent fields store values on a 0–100 scale • Percentile indexes use a 0–1 scale</x:v>
      </x:c>
      <x:c r="E2" s="41" t="str">
        <x:v>Primary layer: segment_meta_analysis • Percent fields store values on a 0–100 scale • Percentile indexes use a 0–1 scale</x:v>
      </x:c>
    </x:row>
    <x:row r="4" ht="28" customHeight="1">
      <x:c r="A4" s="27" t="str">
        <x:v>Section</x:v>
      </x:c>
      <x:c r="B4" s="28" t="str">
        <x:v>Field</x:v>
      </x:c>
      <x:c r="C4" s="28" t="str">
        <x:v>Data type / unit</x:v>
      </x:c>
      <x:c r="D4" s="28" t="str">
        <x:v>Definition</x:v>
      </x:c>
      <x:c r="E4" s="29" t="str">
        <x:v>Calculation, rule, or eligibility</x:v>
      </x:c>
    </x:row>
    <x:row r="5" ht="38" customHeight="1">
      <x:c r="A5" s="45" t="str">
        <x:v>Identification &amp; geography</x:v>
      </x:c>
      <x:c r="B5" s="44" t="str">
        <x:v>city_slug</x:v>
      </x:c>
      <x:c r="C5" s="25" t="str">
        <x:v>Text</x:v>
      </x:c>
      <x:c r="D5" s="25" t="str">
        <x:v>Normalized city identifier used in paths and joins.</x:v>
      </x:c>
      <x:c r="E5" s="31" t="str">
        <x:v>Assigned from the portfolio city manifest.</x:v>
      </x:c>
    </x:row>
    <x:row r="6" ht="38" customHeight="1">
      <x:c r="A6" s="45" t="str">
        <x:v>Identification &amp; geography</x:v>
      </x:c>
      <x:c r="B6" s="44" t="str">
        <x:v>city_name</x:v>
      </x:c>
      <x:c r="C6" s="25" t="str">
        <x:v>Text</x:v>
      </x:c>
      <x:c r="D6" s="25" t="str">
        <x:v>Display name of the city.</x:v>
      </x:c>
      <x:c r="E6" s="31" t="str">
        <x:v>Assigned from the portfolio city manifest.</x:v>
      </x:c>
    </x:row>
    <x:row r="7" ht="38" customHeight="1">
      <x:c r="A7" s="45" t="str">
        <x:v>Identification &amp; geography</x:v>
      </x:c>
      <x:c r="B7" s="44" t="str">
        <x:v>country</x:v>
      </x:c>
      <x:c r="C7" s="25" t="str">
        <x:v>Text</x:v>
      </x:c>
      <x:c r="D7" s="25" t="str">
        <x:v>Country containing the city.</x:v>
      </x:c>
      <x:c r="E7" s="31" t="str">
        <x:v>Assigned from the portfolio city manifest.</x:v>
      </x:c>
    </x:row>
    <x:row r="8" ht="38" customHeight="1">
      <x:c r="A8" s="45" t="str">
        <x:v>Identification &amp; geography</x:v>
      </x:c>
      <x:c r="B8" s="44" t="str">
        <x:v>ANALYSIS_ID</x:v>
      </x:c>
      <x:c r="C8" s="25" t="str">
        <x:v>Integer</x:v>
      </x:c>
      <x:c r="D8" s="25" t="str">
        <x:v>Zero-based segment identifier assigned during processing; unique within a city.</x:v>
      </x:c>
      <x:c r="E8" s="31" t="str">
        <x:v>Sequential integer from 0 to the number of segments minus 1.</x:v>
      </x:c>
    </x:row>
    <x:row r="9" ht="38" customHeight="1">
      <x:c r="A9" s="45" t="str">
        <x:v>Identification &amp; geography</x:v>
      </x:c>
      <x:c r="B9" s="44" t="str">
        <x:v>SEGMENT_UID</x:v>
      </x:c>
      <x:c r="C9" s="25" t="str">
        <x:v>Text</x:v>
      </x:c>
      <x:c r="D9" s="25" t="str">
        <x:v>Portfolio-wide segment identifier.</x:v>
      </x:c>
      <x:c r="E9" s="31" t="str">
        <x:v>Constructed as city_slug plus the source feature identifier.</x:v>
      </x:c>
    </x:row>
    <x:row r="10" ht="38" customHeight="1">
      <x:c r="A10" s="45" t="str">
        <x:v>Identification &amp; geography</x:v>
      </x:c>
      <x:c r="B10" s="44" t="str">
        <x:v>analysis_area_ha</x:v>
      </x:c>
      <x:c r="C10" s="25" t="str">
        <x:v>Decimal (ha)</x:v>
      </x:c>
      <x:c r="D10" s="25" t="str">
        <x:v>Segment polygon area in hectares.</x:v>
      </x:c>
      <x:c r="E10" s="31" t="str">
        <x:v>Projected polygon area in m² divided by 10,000.</x:v>
      </x:c>
    </x:row>
    <x:row r="11" ht="38" customHeight="1">
      <x:c r="A11" s="45" t="str">
        <x:v>Identification &amp; geography</x:v>
      </x:c>
      <x:c r="B11" s="44" t="str">
        <x:v>GRID_ID</x:v>
      </x:c>
      <x:c r="C11" s="25" t="str">
        <x:v>Text</x:v>
      </x:c>
      <x:c r="D11" s="25" t="str">
        <x:v>Original persistent segment or grid identifier from the source dataset.</x:v>
      </x:c>
      <x:c r="E11" s="31" t="str">
        <x:v>Retained from the source segment layer.</x:v>
      </x:c>
    </x:row>
    <x:row r="12" ht="38" customHeight="1">
      <x:c r="A12" s="45" t="str">
        <x:v>Identification &amp; geography</x:v>
      </x:c>
      <x:c r="B12" s="44" t="str">
        <x:v>ID_SEG</x:v>
      </x:c>
      <x:c r="C12" s="25" t="str">
        <x:v>Decimal / source ID</x:v>
      </x:c>
      <x:c r="D12" s="25" t="str">
        <x:v>Original numeric segment identifier.</x:v>
      </x:c>
      <x:c r="E12" s="31" t="str">
        <x:v>Retained from the source layer; renamed SOURCE_ID_SEG in the expanded Juba input.</x:v>
      </x:c>
    </x:row>
    <x:row r="13" ht="38" customHeight="1">
      <x:c r="A13" s="45" t="str">
        <x:v>Identification &amp; geography</x:v>
      </x:c>
      <x:c r="B13" s="44" t="str">
        <x:v>UC_NM_MN</x:v>
      </x:c>
      <x:c r="C13" s="25" t="str">
        <x:v>Text</x:v>
      </x:c>
      <x:c r="D13" s="25" t="str">
        <x:v>Urban-centre name from the source segment dataset.</x:v>
      </x:c>
      <x:c r="E13" s="31" t="str">
        <x:v>Retained from the source segment layer.</x:v>
      </x:c>
    </x:row>
    <x:row r="14" ht="38" customHeight="1">
      <x:c r="A14" s="45" t="str">
        <x:v>Identification &amp; geography</x:v>
      </x:c>
      <x:c r="B14" s="44" t="str">
        <x:v>CANONICAL_CITY</x:v>
      </x:c>
      <x:c r="C14" s="25" t="str">
        <x:v>Text</x:v>
      </x:c>
      <x:c r="D14" s="25" t="str">
        <x:v>Standardized city name assigned by the project.</x:v>
      </x:c>
      <x:c r="E14" s="31" t="str">
        <x:v>Assigned from the portfolio city manifest.</x:v>
      </x:c>
    </x:row>
    <x:row r="15" ht="38" customHeight="1">
      <x:c r="A15" s="45" t="str">
        <x:v>Identification &amp; geography</x:v>
      </x:c>
      <x:c r="B15" s="44" t="str">
        <x:v>geometry</x:v>
      </x:c>
      <x:c r="C15" s="25" t="str">
        <x:v>Polygon geometry</x:v>
      </x:c>
      <x:c r="D15" s="25" t="str">
        <x:v>Segment polygon geometry.</x:v>
      </x:c>
      <x:c r="E15" s="31" t="str">
        <x:v>Stored in the layer's spatial coordinate reference system.</x:v>
      </x:c>
    </x:row>
    <x:row r="16" ht="38" customHeight="1">
      <x:c r="A16" s="45" t="str">
        <x:v>Building &amp; review</x:v>
      </x:c>
      <x:c r="B16" s="44" t="str">
        <x:v>building_count</x:v>
      </x:c>
      <x:c r="C16" s="25" t="str">
        <x:v>Integer count</x:v>
      </x:c>
      <x:c r="D16" s="25" t="str">
        <x:v>Number of selected integrated building footprints assigned to the segment.</x:v>
      </x:c>
      <x:c r="E16" s="31" t="str">
        <x:v>Buildings are assigned by a point-on-surface spatial join.</x:v>
      </x:c>
    </x:row>
    <x:row r="17" ht="38" customHeight="1">
      <x:c r="A17" s="45" t="str">
        <x:v>Building &amp; review</x:v>
      </x:c>
      <x:c r="B17" s="44" t="str">
        <x:v>review_required_count</x:v>
      </x:c>
      <x:c r="C17" s="25" t="str">
        <x:v>Integer count</x:v>
      </x:c>
      <x:c r="D17" s="25" t="str">
        <x:v>Buildings flagged for geometry review, height review, or both.</x:v>
      </x:c>
      <x:c r="E17" s="31" t="str">
        <x:v>review_required is true when geometry confidence is low or two or more eligible height estimates span more than 5 m.</x:v>
      </x:c>
    </x:row>
    <x:row r="18" ht="38" customHeight="1">
      <x:c r="A18" s="45" t="str">
        <x:v>Building &amp; review</x:v>
      </x:c>
      <x:c r="B18" s="44" t="str">
        <x:v>geometry_review_count</x:v>
      </x:c>
      <x:c r="C18" s="25" t="str">
        <x:v>Integer count</x:v>
      </x:c>
      <x:c r="D18" s="25" t="str">
        <x:v>Buildings with low geometry confidence.</x:v>
      </x:c>
      <x:c r="E18" s="31" t="str">
        <x:v>Count where geometry_confidence = low.</x:v>
      </x:c>
    </x:row>
    <x:row r="19" ht="38" customHeight="1">
      <x:c r="A19" s="45" t="str">
        <x:v>Building &amp; review</x:v>
      </x:c>
      <x:c r="B19" s="44" t="str">
        <x:v>height_review_count</x:v>
      </x:c>
      <x:c r="C19" s="25" t="str">
        <x:v>Integer count</x:v>
      </x:c>
      <x:c r="D19" s="25" t="str">
        <x:v>Buildings with material disagreement among eligible height sources.</x:v>
      </x:c>
      <x:c r="E19" s="31" t="str">
        <x:v>Count where height_source_count is at least 2 and height_range_m is greater than 5 m.</x:v>
      </x:c>
    </x:row>
    <x:row r="20" ht="38" customHeight="1">
      <x:c r="A20" s="45" t="str">
        <x:v>Building &amp; review</x:v>
      </x:c>
      <x:c r="B20" s="44" t="str">
        <x:v>geometry_and_height_review_count</x:v>
      </x:c>
      <x:c r="C20" s="25" t="str">
        <x:v>Integer count</x:v>
      </x:c>
      <x:c r="D20" s="25" t="str">
        <x:v>Buildings meeting both geometry-review and height-review conditions.</x:v>
      </x:c>
      <x:c r="E20" s="31" t="str">
        <x:v>geometry_review AND height_review.</x:v>
      </x:c>
    </x:row>
    <x:row r="21" ht="38" customHeight="1">
      <x:c r="A21" s="45" t="str">
        <x:v>Building &amp; review</x:v>
      </x:c>
      <x:c r="B21" s="44" t="str">
        <x:v>review_osm_count</x:v>
      </x:c>
      <x:c r="C21" s="25" t="str">
        <x:v>Integer count</x:v>
      </x:c>
      <x:c r="D21" s="25" t="str">
        <x:v>Review-required buildings whose selected geometry comes from OpenStreetMap.</x:v>
      </x:c>
      <x:c r="E21" s="31" t="str">
        <x:v>review_required AND geometry_source = OpenStreetMap.</x:v>
      </x:c>
    </x:row>
    <x:row r="22" ht="38" customHeight="1">
      <x:c r="A22" s="45" t="str">
        <x:v>Building &amp; review</x:v>
      </x:c>
      <x:c r="B22" s="44" t="str">
        <x:v>review_other_overture_count</x:v>
      </x:c>
      <x:c r="C22" s="25" t="str">
        <x:v>Integer count</x:v>
      </x:c>
      <x:c r="D22" s="25" t="str">
        <x:v>Review-required buildings whose selected geometry comes from non-OSM Overture.</x:v>
      </x:c>
      <x:c r="E22" s="31" t="str">
        <x:v>review_required AND geometry_source = Overture_nonOSM.</x:v>
      </x:c>
    </x:row>
    <x:row r="23" ht="38" customHeight="1">
      <x:c r="A23" s="45" t="str">
        <x:v>Building &amp; review</x:v>
      </x:c>
      <x:c r="B23" s="44" t="str">
        <x:v>review_globfp_gapfill_count</x:v>
      </x:c>
      <x:c r="C23" s="25" t="str">
        <x:v>Integer count</x:v>
      </x:c>
      <x:c r="D23" s="25" t="str">
        <x:v>Review-required buildings selected as 3D-GloBFP gap fills.</x:v>
      </x:c>
      <x:c r="E23" s="31" t="str">
        <x:v>review_required AND geometry_source = 3D-GloBFP_gapfill.</x:v>
      </x:c>
    </x:row>
    <x:row r="24" ht="38" customHeight="1">
      <x:c r="A24" s="45" t="str">
        <x:v>Building &amp; review</x:v>
      </x:c>
      <x:c r="B24" s="44" t="str">
        <x:v>review_required_pct</x:v>
      </x:c>
      <x:c r="C24" s="25" t="str">
        <x:v>Percentage</x:v>
      </x:c>
      <x:c r="D24" s="25" t="str">
        <x:v>Review-required buildings as a percentage of all buildings in the segment.</x:v>
      </x:c>
      <x:c r="E24" s="31" t="str">
        <x:v>100 × review_required_count ÷ building_count; blank when building_count is zero.</x:v>
      </x:c>
    </x:row>
    <x:row r="25" ht="38" customHeight="1">
      <x:c r="A25" s="45" t="str">
        <x:v>Building &amp; review</x:v>
      </x:c>
      <x:c r="B25" s="44" t="str">
        <x:v>geometry_review_pct</x:v>
      </x:c>
      <x:c r="C25" s="25" t="str">
        <x:v>Percentage</x:v>
      </x:c>
      <x:c r="D25" s="25" t="str">
        <x:v>Geometry-review buildings as a percentage of all buildings in the segment.</x:v>
      </x:c>
      <x:c r="E25" s="31" t="str">
        <x:v>100 × geometry_review_count ÷ building_count; blank when building_count is zero.</x:v>
      </x:c>
    </x:row>
    <x:row r="26" ht="38" customHeight="1">
      <x:c r="A26" s="45" t="str">
        <x:v>Building &amp; review</x:v>
      </x:c>
      <x:c r="B26" s="44" t="str">
        <x:v>height_review_pct</x:v>
      </x:c>
      <x:c r="C26" s="25" t="str">
        <x:v>Percentage</x:v>
      </x:c>
      <x:c r="D26" s="25" t="str">
        <x:v>Height-review buildings as a percentage of all buildings in the segment.</x:v>
      </x:c>
      <x:c r="E26" s="31" t="str">
        <x:v>100 × height_review_count ÷ building_count; blank when building_count is zero.</x:v>
      </x:c>
    </x:row>
    <x:row r="27" ht="38" customHeight="1">
      <x:c r="A27" s="45" t="str">
        <x:v>Building &amp; review</x:v>
      </x:c>
      <x:c r="B27" s="44" t="str">
        <x:v>review_rate_eligible</x:v>
      </x:c>
      <x:c r="C27" s="25" t="str">
        <x:v>Boolean</x:v>
      </x:c>
      <x:c r="D27" s="25" t="str">
        <x:v>Whether the segment has enough buildings for review-rate comparisons.</x:v>
      </x:c>
      <x:c r="E27" s="31" t="str">
        <x:v>True when building_count is at least 10.</x:v>
      </x:c>
    </x:row>
    <x:row r="28" ht="38" customHeight="1">
      <x:c r="A28" s="45" t="str">
        <x:v>WSF &amp; footprint gaps</x:v>
      </x:c>
      <x:c r="B28" s="44" t="str">
        <x:v>raster_center_cells</x:v>
      </x:c>
      <x:c r="C28" s="25" t="str">
        <x:v>Integer count</x:v>
      </x:c>
      <x:c r="D28" s="25" t="str">
        <x:v>Valid 30 m raster cells whose centers fall inside the segment.</x:v>
      </x:c>
      <x:c r="E28" s="31" t="str">
        <x:v>Cell-centre assignment; segment boundaries therefore have approximately 30 m positional granularity.</x:v>
      </x:c>
    </x:row>
    <x:row r="29" ht="38" customHeight="1">
      <x:c r="A29" s="45" t="str">
        <x:v>WSF &amp; footprint gaps</x:v>
      </x:c>
      <x:c r="B29" s="44" t="str">
        <x:v>wsf_settled_cells</x:v>
      </x:c>
      <x:c r="C29" s="25" t="str">
        <x:v>Integer count</x:v>
      </x:c>
      <x:c r="D29" s="25" t="str">
        <x:v>Cells classified as WSF2019 settlement.</x:v>
      </x:c>
      <x:c r="E29" s="31" t="str">
        <x:v>Count of cells where the WSF presence band is at least 0.5.</x:v>
      </x:c>
    </x:row>
    <x:row r="30" ht="38" customHeight="1">
      <x:c r="A30" s="45" t="str">
        <x:v>WSF &amp; footprint gaps</x:v>
      </x:c>
      <x:c r="B30" s="44" t="str">
        <x:v>footprint_present_cells</x:v>
      </x:c>
      <x:c r="C30" s="25" t="str">
        <x:v>Integer count</x:v>
      </x:c>
      <x:c r="D30" s="25" t="str">
        <x:v>Cells containing evidence from at least one evaluated footprint source.</x:v>
      </x:c>
      <x:c r="E30" s="31" t="str">
        <x:v>Count of cells where the any-footprint band is at least 0.5.</x:v>
      </x:c>
    </x:row>
    <x:row r="31" ht="38" customHeight="1">
      <x:c r="A31" s="45" t="str">
        <x:v>WSF &amp; footprint gaps</x:v>
      </x:c>
      <x:c r="B31" s="44" t="str">
        <x:v>wsf_gap_cells</x:v>
      </x:c>
      <x:c r="C31" s="25" t="str">
        <x:v>Integer count</x:v>
      </x:c>
      <x:c r="D31" s="25" t="str">
        <x:v>WSF settlement cells with no evaluated footprint evidence.</x:v>
      </x:c>
      <x:c r="E31" s="31" t="str">
        <x:v>Count of cells where the WSF-gap band is at least 0.5.</x:v>
      </x:c>
    </x:row>
    <x:row r="32" ht="38" customHeight="1">
      <x:c r="A32" s="45" t="str">
        <x:v>WSF &amp; footprint gaps</x:v>
      </x:c>
      <x:c r="B32" s="44" t="str">
        <x:v>wsf_impervious_area_m2</x:v>
      </x:c>
      <x:c r="C32" s="25" t="str">
        <x:v>Decimal (m²)</x:v>
      </x:c>
      <x:c r="D32" s="25" t="str">
        <x:v>Estimated WSF fractional impervious area across the segment.</x:v>
      </x:c>
      <x:c r="E32" s="31" t="str">
        <x:v>Sum of clipped WSF fractional imperviousness × 900 m² for assigned cells.</x:v>
      </x:c>
    </x:row>
    <x:row r="33" ht="38" customHeight="1">
      <x:c r="A33" s="45" t="str">
        <x:v>WSF &amp; footprint gaps</x:v>
      </x:c>
      <x:c r="B33" s="44" t="str">
        <x:v>wsf_gap_impervious_area_m2</x:v>
      </x:c>
      <x:c r="C33" s="25" t="str">
        <x:v>Decimal (m²)</x:v>
      </x:c>
      <x:c r="D33" s="25" t="str">
        <x:v>Estimated WSF impervious area specifically within gap cells.</x:v>
      </x:c>
      <x:c r="E33" s="31" t="str">
        <x:v>Sum of WSF fractional imperviousness × 900 m² where wsf_gap is true.</x:v>
      </x:c>
    </x:row>
    <x:row r="34" ht="38" customHeight="1">
      <x:c r="A34" s="45" t="str">
        <x:v>WSF &amp; footprint gaps</x:v>
      </x:c>
      <x:c r="B34" s="44" t="str">
        <x:v>wsf_gap_support_area_m2</x:v>
      </x:c>
      <x:c r="C34" s="25" t="str">
        <x:v>Decimal (m²)</x:v>
      </x:c>
      <x:c r="D34" s="25" t="str">
        <x:v>Full raster support area of gap cells; not fractional impervious area.</x:v>
      </x:c>
      <x:c r="E34" s="31" t="str">
        <x:v>wsf_gap_cells × 900 m².</x:v>
      </x:c>
    </x:row>
    <x:row r="35" ht="38" customHeight="1">
      <x:c r="A35" s="45" t="str">
        <x:v>WSF &amp; footprint gaps</x:v>
      </x:c>
      <x:c r="B35" s="44" t="str">
        <x:v>wsf_gap_impervious_ha</x:v>
      </x:c>
      <x:c r="C35" s="25" t="str">
        <x:v>Decimal (ha)</x:v>
      </x:c>
      <x:c r="D35" s="25" t="str">
        <x:v>WSF gap impervious area in hectares.</x:v>
      </x:c>
      <x:c r="E35" s="31" t="str">
        <x:v>wsf_gap_impervious_area_m2 ÷ 10,000.</x:v>
      </x:c>
    </x:row>
    <x:row r="36" ht="38" customHeight="1">
      <x:c r="A36" s="45" t="str">
        <x:v>WSF &amp; footprint gaps</x:v>
      </x:c>
      <x:c r="B36" s="44" t="str">
        <x:v>wsf_gap_support_ha</x:v>
      </x:c>
      <x:c r="C36" s="25" t="str">
        <x:v>Decimal (ha)</x:v>
      </x:c>
      <x:c r="D36" s="25" t="str">
        <x:v>Full support area of gap cells in hectares.</x:v>
      </x:c>
      <x:c r="E36" s="31" t="str">
        <x:v>wsf_gap_support_area_m2 ÷ 10,000.</x:v>
      </x:c>
    </x:row>
    <x:row r="37" ht="38" customHeight="1">
      <x:c r="A37" s="45" t="str">
        <x:v>WSF &amp; footprint gaps</x:v>
      </x:c>
      <x:c r="B37" s="44" t="str">
        <x:v>wsf_impervious_ha</x:v>
      </x:c>
      <x:c r="C37" s="25" t="str">
        <x:v>Decimal (ha)</x:v>
      </x:c>
      <x:c r="D37" s="25" t="str">
        <x:v>Total WSF fractional impervious area in hectares.</x:v>
      </x:c>
      <x:c r="E37" s="31" t="str">
        <x:v>wsf_impervious_area_m2 ÷ 10,000.</x:v>
      </x:c>
    </x:row>
    <x:row r="38" ht="38" customHeight="1">
      <x:c r="A38" s="45" t="str">
        <x:v>WSF &amp; footprint gaps</x:v>
      </x:c>
      <x:c r="B38" s="44" t="str">
        <x:v>wsf_gap_share_pct</x:v>
      </x:c>
      <x:c r="C38" s="25" t="str">
        <x:v>Percentage</x:v>
      </x:c>
      <x:c r="D38" s="25" t="str">
        <x:v>Gap impervious area as a percentage of all WSF impervious area in the segment.</x:v>
      </x:c>
      <x:c r="E38" s="31" t="str">
        <x:v>100 × wsf_gap_impervious_area_m2 ÷ wsf_impervious_area_m2; blank when total WSF impervious area is zero.</x:v>
      </x:c>
    </x:row>
    <x:row r="39" ht="38" customHeight="1">
      <x:c r="A39" s="45" t="str">
        <x:v>WSF &amp; footprint gaps</x:v>
      </x:c>
      <x:c r="B39" s="44" t="str">
        <x:v>wsf_gap_segment_area_pct</x:v>
      </x:c>
      <x:c r="C39" s="25" t="str">
        <x:v>Percentage</x:v>
      </x:c>
      <x:c r="D39" s="25" t="str">
        <x:v>Full gap-cell support area as a percentage of the segment polygon area.</x:v>
      </x:c>
      <x:c r="E39" s="31" t="str">
        <x:v>100 × wsf_gap_support_ha ÷ analysis_area_ha.</x:v>
      </x:c>
    </x:row>
    <x:row r="40" ht="38" customHeight="1">
      <x:c r="A40" s="45" t="str">
        <x:v>Within-city flags</x:v>
      </x:c>
      <x:c r="B40" s="44" t="str">
        <x:v>review_count_gt_city_mean</x:v>
      </x:c>
      <x:c r="C40" s="25" t="str">
        <x:v>Boolean</x:v>
      </x:c>
      <x:c r="D40" s="25" t="str">
        <x:v>Review count exceeds the city mean among segments containing buildings.</x:v>
      </x:c>
      <x:c r="E40" s="31" t="str">
        <x:v>Strict greater-than test; eligible when building_count &gt; 0.</x:v>
      </x:c>
    </x:row>
    <x:row r="41" ht="38" customHeight="1">
      <x:c r="A41" s="45" t="str">
        <x:v>Within-city flags</x:v>
      </x:c>
      <x:c r="B41" s="44" t="str">
        <x:v>review_count_gt_city_median</x:v>
      </x:c>
      <x:c r="C41" s="25" t="str">
        <x:v>Boolean</x:v>
      </x:c>
      <x:c r="D41" s="25" t="str">
        <x:v>Review count exceeds the corresponding city median.</x:v>
      </x:c>
      <x:c r="E41" s="31" t="str">
        <x:v>Strict greater-than test; eligible when building_count &gt; 0.</x:v>
      </x:c>
    </x:row>
    <x:row r="42" ht="38" customHeight="1">
      <x:c r="A42" s="45" t="str">
        <x:v>Within-city flags</x:v>
      </x:c>
      <x:c r="B42" s="44" t="str">
        <x:v>review_pct_gt_city_mean</x:v>
      </x:c>
      <x:c r="C42" s="25" t="str">
        <x:v>Boolean</x:v>
      </x:c>
      <x:c r="D42" s="25" t="str">
        <x:v>Eligible review percentage exceeds the city mean.</x:v>
      </x:c>
      <x:c r="E42" s="31" t="str">
        <x:v>Strict greater-than test; requires at least 10 buildings.</x:v>
      </x:c>
    </x:row>
    <x:row r="43" ht="38" customHeight="1">
      <x:c r="A43" s="45" t="str">
        <x:v>Within-city flags</x:v>
      </x:c>
      <x:c r="B43" s="44" t="str">
        <x:v>review_pct_gt_city_median</x:v>
      </x:c>
      <x:c r="C43" s="25" t="str">
        <x:v>Boolean</x:v>
      </x:c>
      <x:c r="D43" s="25" t="str">
        <x:v>Eligible review percentage exceeds the corresponding city median.</x:v>
      </x:c>
      <x:c r="E43" s="31" t="str">
        <x:v>Strict greater-than test; requires at least 10 buildings.</x:v>
      </x:c>
    </x:row>
    <x:row r="44" ht="38" customHeight="1">
      <x:c r="A44" s="45" t="str">
        <x:v>Within-city flags</x:v>
      </x:c>
      <x:c r="B44" s="44" t="str">
        <x:v>gap_ha_gt_city_mean</x:v>
      </x:c>
      <x:c r="C44" s="25" t="str">
        <x:v>Boolean</x:v>
      </x:c>
      <x:c r="D44" s="25" t="str">
        <x:v>Gap impervious hectares exceed the city mean among raster-covered segments.</x:v>
      </x:c>
      <x:c r="E44" s="31" t="str">
        <x:v>Strict greater-than test; eligible when raster_center_cells &gt; 0.</x:v>
      </x:c>
    </x:row>
    <x:row r="45" ht="38" customHeight="1">
      <x:c r="A45" s="45" t="str">
        <x:v>Within-city flags</x:v>
      </x:c>
      <x:c r="B45" s="44" t="str">
        <x:v>gap_ha_gt_city_median</x:v>
      </x:c>
      <x:c r="C45" s="25" t="str">
        <x:v>Boolean</x:v>
      </x:c>
      <x:c r="D45" s="25" t="str">
        <x:v>Gap impervious hectares exceed the corresponding city median.</x:v>
      </x:c>
      <x:c r="E45" s="31" t="str">
        <x:v>Strict greater-than test; eligible when raster_center_cells &gt; 0.</x:v>
      </x:c>
    </x:row>
    <x:row r="46" ht="38" customHeight="1">
      <x:c r="A46" s="45" t="str">
        <x:v>Within-city flags</x:v>
      </x:c>
      <x:c r="B46" s="44" t="str">
        <x:v>gap_share_pct_gt_city_mean</x:v>
      </x:c>
      <x:c r="C46" s="25" t="str">
        <x:v>Boolean</x:v>
      </x:c>
      <x:c r="D46" s="25" t="str">
        <x:v>Gap share exceeds the city mean among segments with WSF impervious area.</x:v>
      </x:c>
      <x:c r="E46" s="31" t="str">
        <x:v>Strict greater-than test; eligible when wsf_impervious_area_m2 &gt; 0.</x:v>
      </x:c>
    </x:row>
    <x:row r="47" ht="38" customHeight="1">
      <x:c r="A47" s="45" t="str">
        <x:v>Within-city flags</x:v>
      </x:c>
      <x:c r="B47" s="44" t="str">
        <x:v>gap_share_pct_gt_city_median</x:v>
      </x:c>
      <x:c r="C47" s="25" t="str">
        <x:v>Boolean</x:v>
      </x:c>
      <x:c r="D47" s="25" t="str">
        <x:v>Gap share exceeds the corresponding city median.</x:v>
      </x:c>
      <x:c r="E47" s="31" t="str">
        <x:v>Strict greater-than test; eligible when wsf_impervious_area_m2 &gt; 0.</x:v>
      </x:c>
    </x:row>
    <x:row r="48" ht="38" customHeight="1">
      <x:c r="A48" s="45" t="str">
        <x:v>Within-city flags</x:v>
      </x:c>
      <x:c r="B48" s="44" t="str">
        <x:v>review_above_city_mean</x:v>
      </x:c>
      <x:c r="C48" s="25" t="str">
        <x:v>Boolean</x:v>
      </x:c>
      <x:c r="D48" s="25" t="str">
        <x:v>Either review count or eligible review percentage exceeds its city mean.</x:v>
      </x:c>
      <x:c r="E48" s="31" t="str">
        <x:v>review_count_gt_city_mean OR review_pct_gt_city_mean.</x:v>
      </x:c>
    </x:row>
    <x:row r="49" ht="38" customHeight="1">
      <x:c r="A49" s="45" t="str">
        <x:v>Within-city flags</x:v>
      </x:c>
      <x:c r="B49" s="44" t="str">
        <x:v>review_above_city_median</x:v>
      </x:c>
      <x:c r="C49" s="25" t="str">
        <x:v>Boolean</x:v>
      </x:c>
      <x:c r="D49" s="25" t="str">
        <x:v>Either review count or eligible review percentage exceeds its city median.</x:v>
      </x:c>
      <x:c r="E49" s="31" t="str">
        <x:v>review_count_gt_city_median OR review_pct_gt_city_median.</x:v>
      </x:c>
    </x:row>
    <x:row r="50" ht="38" customHeight="1">
      <x:c r="A50" s="45" t="str">
        <x:v>Within-city flags</x:v>
      </x:c>
      <x:c r="B50" s="44" t="str">
        <x:v>missing_above_city_mean</x:v>
      </x:c>
      <x:c r="C50" s="25" t="str">
        <x:v>Boolean</x:v>
      </x:c>
      <x:c r="D50" s="25" t="str">
        <x:v>Either WSF gap area or gap share exceeds its city mean.</x:v>
      </x:c>
      <x:c r="E50" s="31" t="str">
        <x:v>gap_ha_gt_city_mean OR gap_share_pct_gt_city_mean.</x:v>
      </x:c>
    </x:row>
    <x:row r="51" ht="38" customHeight="1">
      <x:c r="A51" s="45" t="str">
        <x:v>Within-city flags</x:v>
      </x:c>
      <x:c r="B51" s="44" t="str">
        <x:v>missing_above_city_median</x:v>
      </x:c>
      <x:c r="C51" s="25" t="str">
        <x:v>Boolean</x:v>
      </x:c>
      <x:c r="D51" s="25" t="str">
        <x:v>Either WSF gap area or gap share exceeds its city median.</x:v>
      </x:c>
      <x:c r="E51" s="31" t="str">
        <x:v>gap_ha_gt_city_median OR gap_share_pct_gt_city_median.</x:v>
      </x:c>
    </x:row>
    <x:row r="52" ht="38" customHeight="1">
      <x:c r="A52" s="45" t="str">
        <x:v>Within-city flags</x:v>
      </x:c>
      <x:c r="B52" s="44" t="str">
        <x:v>dual_above_city_mean</x:v>
      </x:c>
      <x:c r="C52" s="25" t="str">
        <x:v>Boolean</x:v>
      </x:c>
      <x:c r="D52" s="25" t="str">
        <x:v>Both combined review and missing-building signals are above their city means.</x:v>
      </x:c>
      <x:c r="E52" s="31" t="str">
        <x:v>review_above_city_mean AND missing_above_city_mean.</x:v>
      </x:c>
    </x:row>
    <x:row r="53" ht="38" customHeight="1">
      <x:c r="A53" s="45" t="str">
        <x:v>Within-city flags</x:v>
      </x:c>
      <x:c r="B53" s="44" t="str">
        <x:v>dual_above_city_median</x:v>
      </x:c>
      <x:c r="C53" s="25" t="str">
        <x:v>Boolean</x:v>
      </x:c>
      <x:c r="D53" s="25" t="str">
        <x:v>Both combined signals are above their city medians.</x:v>
      </x:c>
      <x:c r="E53" s="31" t="str">
        <x:v>review_above_city_median AND missing_above_city_median.</x:v>
      </x:c>
    </x:row>
    <x:row r="54" ht="38" customHeight="1">
      <x:c r="A54" s="45" t="str">
        <x:v>Indexes &amp; priority</x:v>
      </x:c>
      <x:c r="B54" s="44" t="str">
        <x:v>review_count_city_percentile</x:v>
      </x:c>
      <x:c r="C54" s="25" t="str">
        <x:v>Decimal (0–1)</x:v>
      </x:c>
      <x:c r="D54" s="25" t="str">
        <x:v>Within-city percentile rank of review-required building count.</x:v>
      </x:c>
      <x:c r="E54" s="31" t="str">
        <x:v>Average percentile rank among segments containing buildings.</x:v>
      </x:c>
    </x:row>
    <x:row r="55" ht="38" customHeight="1">
      <x:c r="A55" s="45" t="str">
        <x:v>Indexes &amp; priority</x:v>
      </x:c>
      <x:c r="B55" s="44" t="str">
        <x:v>review_pct_city_percentile</x:v>
      </x:c>
      <x:c r="C55" s="25" t="str">
        <x:v>Decimal (0–1)</x:v>
      </x:c>
      <x:c r="D55" s="25" t="str">
        <x:v>Within-city percentile rank of review percentage.</x:v>
      </x:c>
      <x:c r="E55" s="31" t="str">
        <x:v>Average percentile rank among segments containing at least 10 buildings.</x:v>
      </x:c>
    </x:row>
    <x:row r="56" ht="38" customHeight="1">
      <x:c r="A56" s="45" t="str">
        <x:v>Indexes &amp; priority</x:v>
      </x:c>
      <x:c r="B56" s="44" t="str">
        <x:v>gap_area_city_percentile</x:v>
      </x:c>
      <x:c r="C56" s="25" t="str">
        <x:v>Decimal (0–1)</x:v>
      </x:c>
      <x:c r="D56" s="25" t="str">
        <x:v>Within-city percentile rank of WSF gap impervious area.</x:v>
      </x:c>
      <x:c r="E56" s="31" t="str">
        <x:v>Average percentile rank among raster-covered segments.</x:v>
      </x:c>
    </x:row>
    <x:row r="57" ht="38" customHeight="1">
      <x:c r="A57" s="45" t="str">
        <x:v>Indexes &amp; priority</x:v>
      </x:c>
      <x:c r="B57" s="44" t="str">
        <x:v>gap_share_city_percentile</x:v>
      </x:c>
      <x:c r="C57" s="25" t="str">
        <x:v>Decimal (0–1)</x:v>
      </x:c>
      <x:c r="D57" s="25" t="str">
        <x:v>Within-city percentile rank of WSF gap share.</x:v>
      </x:c>
      <x:c r="E57" s="31" t="str">
        <x:v>Average percentile rank among segments with positive WSF impervious area.</x:v>
      </x:c>
    </x:row>
    <x:row r="58" ht="38" customHeight="1">
      <x:c r="A58" s="45" t="str">
        <x:v>Indexes &amp; priority</x:v>
      </x:c>
      <x:c r="B58" s="44" t="str">
        <x:v>review_signal_index</x:v>
      </x:c>
      <x:c r="C58" s="25" t="str">
        <x:v>Decimal (0–1)</x:v>
      </x:c>
      <x:c r="D58" s="25" t="str">
        <x:v>Combined review signal index.</x:v>
      </x:c>
      <x:c r="E58" s="31" t="str">
        <x:v>Mean of the available review-count and review-percentage percentiles.</x:v>
      </x:c>
    </x:row>
    <x:row r="59" ht="38" customHeight="1">
      <x:c r="A59" s="45" t="str">
        <x:v>Indexes &amp; priority</x:v>
      </x:c>
      <x:c r="B59" s="44" t="str">
        <x:v>missing_signal_index</x:v>
      </x:c>
      <x:c r="C59" s="25" t="str">
        <x:v>Decimal (0–1)</x:v>
      </x:c>
      <x:c r="D59" s="25" t="str">
        <x:v>Combined missing-building signal index.</x:v>
      </x:c>
      <x:c r="E59" s="31" t="str">
        <x:v>Mean of the available gap-area and gap-share percentiles.</x:v>
      </x:c>
    </x:row>
    <x:row r="60" ht="38" customHeight="1">
      <x:c r="A60" s="45" t="str">
        <x:v>Indexes &amp; priority</x:v>
      </x:c>
      <x:c r="B60" s="44" t="str">
        <x:v>dual_signal_score</x:v>
      </x:c>
      <x:c r="C60" s="25" t="str">
        <x:v>Decimal (0–1)</x:v>
      </x:c>
      <x:c r="D60" s="25" t="str">
        <x:v>Combined score balancing review and missing-building signals.</x:v>
      </x:c>
      <x:c r="E60" s="31" t="str">
        <x:v>Square root of review_signal_index × missing_signal_index; missing inputs are treated as zero for this score.</x:v>
      </x:c>
    </x:row>
    <x:row r="61" ht="38" customHeight="1">
      <x:c r="A61" s="46" t="str">
        <x:v>Indexes &amp; priority</x:v>
      </x:c>
      <x:c r="B61" s="47" t="str">
        <x:v>meta_priority_class</x:v>
      </x:c>
      <x:c r="C61" s="33" t="str">
        <x:v>Categorical text</x:v>
      </x:c>
      <x:c r="D61" s="33" t="str">
        <x:v>Within-city segment prioritization class.</x:v>
      </x:c>
      <x:c r="E61" s="34" t="str">
        <x:v>Assigned using the ordered rules documented on the Priority Classes sheet.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cab722aee7a4f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1" hidden="0" customWidth="1"/>
    <x:col min="3" max="3" width="58" hidden="0" customWidth="1"/>
    <x:col min="4" max="4" width="64" hidden="0" customWidth="1"/>
  </x:cols>
  <x:sheetData>
    <x:row r="1" ht="34" customHeight="1">
      <x:c r="A1" s="3" t="str">
        <x:v>meta_priority_class Reference</x:v>
      </x:c>
      <x:c r="B1" s="3" t="str">
        <x:v>meta_priority_class Reference</x:v>
      </x:c>
      <x:c r="C1" s="3" t="str">
        <x:v>meta_priority_class Reference</x:v>
      </x:c>
      <x:c r="D1" s="3" t="str">
        <x:v>meta_priority_class Reference</x:v>
      </x:c>
    </x:row>
    <x:row r="2">
      <x:c r="A2" s="36" t="str">
        <x:v>Classes are assigned in the order shown. The first matching rule wins.</x:v>
      </x:c>
      <x:c r="B2" s="36" t="str">
        <x:v>Classes are assigned in the order shown. The first matching rule wins.</x:v>
      </x:c>
      <x:c r="C2" s="36" t="str">
        <x:v>Classes are assigned in the order shown. The first matching rule wins.</x:v>
      </x:c>
      <x:c r="D2" s="36" t="str">
        <x:v>Classes are assigned in the order shown. The first matching rule wins.</x:v>
      </x:c>
    </x:row>
    <x:row r="4" ht="28" customHeight="1">
      <x:c r="A4" s="27" t="str">
        <x:v>Evaluation order</x:v>
      </x:c>
      <x:c r="B4" s="28" t="str">
        <x:v>Class value</x:v>
      </x:c>
      <x:c r="C4" s="28" t="str">
        <x:v>Meaning</x:v>
      </x:c>
      <x:c r="D4" s="29" t="str">
        <x:v>Rule</x:v>
      </x:c>
    </x:row>
    <x:row r="5" ht="42" customHeight="1">
      <x:c r="A5" s="30" t="n">
        <x:v>1</x:v>
      </x:c>
      <x:c r="B5" s="42" t="str">
        <x:v>missing_no_footprints</x:v>
      </x:c>
      <x:c r="C5" s="25" t="str">
        <x:v>No selected buildings and gap impervious area is above the city median.</x:v>
      </x:c>
      <x:c r="D5" s="31" t="str">
        <x:v>Evaluated first; takes precedence over percentile-based classes.</x:v>
      </x:c>
    </x:row>
    <x:row r="6" ht="42" customHeight="1">
      <x:c r="A6" s="30" t="n">
        <x:v>2</x:v>
      </x:c>
      <x:c r="B6" s="42" t="str">
        <x:v>critical_dual_q90</x:v>
      </x:c>
      <x:c r="C6" s="25" t="str">
        <x:v>Both review and missing-signal indexes are at or above 0.90.</x:v>
      </x:c>
      <x:c r="D6" s="31" t="str">
        <x:v>review_signal_index ≥ 0.90 AND missing_signal_index ≥ 0.90.</x:v>
      </x:c>
    </x:row>
    <x:row r="7" ht="42" customHeight="1">
      <x:c r="A7" s="30" t="n">
        <x:v>3</x:v>
      </x:c>
      <x:c r="B7" s="42" t="str">
        <x:v>high_dual_q75</x:v>
      </x:c>
      <x:c r="C7" s="25" t="str">
        <x:v>Both signal indexes are at or above 0.75, but the segment is not critical.</x:v>
      </x:c>
      <x:c r="D7" s="31" t="str">
        <x:v>review_signal_index ≥ 0.75 AND missing_signal_index ≥ 0.75.</x:v>
      </x:c>
    </x:row>
    <x:row r="8" ht="42" customHeight="1">
      <x:c r="A8" s="30" t="n">
        <x:v>4</x:v>
      </x:c>
      <x:c r="B8" s="42" t="str">
        <x:v>elevated_dual</x:v>
      </x:c>
      <x:c r="C8" s="25" t="str">
        <x:v>Both signal indexes are at or above 0.50, below the higher dual classes.</x:v>
      </x:c>
      <x:c r="D8" s="31" t="str">
        <x:v>review_signal_index ≥ 0.50 AND missing_signal_index ≥ 0.50.</x:v>
      </x:c>
    </x:row>
    <x:row r="9" ht="42" customHeight="1">
      <x:c r="A9" s="30" t="n">
        <x:v>5</x:v>
      </x:c>
      <x:c r="B9" s="42" t="str">
        <x:v>missing_gap_only</x:v>
      </x:c>
      <x:c r="C9" s="25" t="str">
        <x:v>Strong missing-building signal without a corresponding review signal.</x:v>
      </x:c>
      <x:c r="D9" s="31" t="str">
        <x:v>missing_signal_index ≥ 0.75 AND review_signal_index &lt; 0.50.</x:v>
      </x:c>
    </x:row>
    <x:row r="10" ht="42" customHeight="1">
      <x:c r="A10" s="30" t="n">
        <x:v>6</x:v>
      </x:c>
      <x:c r="B10" s="42" t="str">
        <x:v>review_only</x:v>
      </x:c>
      <x:c r="C10" s="25" t="str">
        <x:v>Strong review signal without a corresponding missing-building signal.</x:v>
      </x:c>
      <x:c r="D10" s="31" t="str">
        <x:v>review_signal_index ≥ 0.75 AND missing_signal_index &lt; 0.50.</x:v>
      </x:c>
    </x:row>
    <x:row r="11" ht="42" customHeight="1">
      <x:c r="A11" s="32" t="n">
        <x:v>7</x:v>
      </x:c>
      <x:c r="B11" s="48" t="str">
        <x:v>background</x:v>
      </x:c>
      <x:c r="C11" s="33" t="str">
        <x:v>None of the preceding priority rules applies.</x:v>
      </x:c>
      <x:c r="D11" s="34" t="str">
        <x:v>Default class.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d13ff28cc8c40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78" hidden="0" customWidth="1"/>
  </x:cols>
  <x:sheetData>
    <x:row r="1" ht="34" customHeight="1">
      <x:c r="A1" s="3" t="str">
        <x:v>Prepared Expanded Juba Segment Fields</x:v>
      </x:c>
      <x:c r="B1" s="3" t="str">
        <x:v>Prepared Expanded Juba Segment Fields</x:v>
      </x:c>
      <x:c r="C1" s="3" t="str">
        <x:v>Prepared Expanded Juba Segment Fields</x:v>
      </x:c>
    </x:row>
    <x:row r="2">
      <x:c r="A2" s="40" t="str">
        <x:v>Source: data/processed/juba_segments_20260821.gpkg and .parquet</x:v>
      </x:c>
      <x:c r="B2" s="40" t="str">
        <x:v>Source: data/processed/juba_segments_20260821.gpkg and .parquet</x:v>
      </x:c>
      <x:c r="C2" s="40" t="str">
        <x:v>Source: data/processed/juba_segments_20260821.gpkg and .parquet</x:v>
      </x:c>
    </x:row>
    <x:row r="4" ht="28" customHeight="1">
      <x:c r="A4" s="27" t="str">
        <x:v>Field</x:v>
      </x:c>
      <x:c r="B4" s="28" t="str">
        <x:v>Data type / unit</x:v>
      </x:c>
      <x:c r="C4" s="29" t="str">
        <x:v>Definition</x:v>
      </x:c>
    </x:row>
    <x:row r="5" ht="38" customHeight="1">
      <x:c r="A5" s="49" t="str">
        <x:v>ANALYSIS_ID</x:v>
      </x:c>
      <x:c r="B5" s="25" t="str">
        <x:v>Integer</x:v>
      </x:c>
      <x:c r="C5" s="31" t="str">
        <x:v>Zero-based segment identifier assigned during processing.</x:v>
      </x:c>
    </x:row>
    <x:row r="6" ht="38" customHeight="1">
      <x:c r="A6" s="49" t="str">
        <x:v>GRID_ID</x:v>
      </x:c>
      <x:c r="B6" s="25" t="str">
        <x:v>Text</x:v>
      </x:c>
      <x:c r="C6" s="31" t="str">
        <x:v>Original persistent grid identifier; required to be non-null and unique within Juba.</x:v>
      </x:c>
    </x:row>
    <x:row r="7" ht="38" customHeight="1">
      <x:c r="A7" s="49" t="str">
        <x:v>SOURCE_ID_SEG</x:v>
      </x:c>
      <x:c r="B7" s="25" t="str">
        <x:v>Decimal / source ID</x:v>
      </x:c>
      <x:c r="C7" s="31" t="str">
        <x:v>Original ID_SEG value renamed to make its source provenance explicit.</x:v>
      </x:c>
    </x:row>
    <x:row r="8" ht="38" customHeight="1">
      <x:c r="A8" s="49" t="str">
        <x:v>UC_NM_MN</x:v>
      </x:c>
      <x:c r="B8" s="25" t="str">
        <x:v>Text</x:v>
      </x:c>
      <x:c r="C8" s="31" t="str">
        <x:v>Urban-centre name from the source segment dataset.</x:v>
      </x:c>
    </x:row>
    <x:row r="9" ht="38" customHeight="1">
      <x:c r="A9" s="49" t="str">
        <x:v>MERGE_SRC</x:v>
      </x:c>
      <x:c r="B9" s="25" t="str">
        <x:v>Text</x:v>
      </x:c>
      <x:c r="C9" s="31" t="str">
        <x:v>Source or merge lineage attribute retained from the original segment layer.</x:v>
      </x:c>
    </x:row>
    <x:row r="10" ht="38" customHeight="1">
      <x:c r="A10" s="49" t="str">
        <x:v>analysis_area_ha</x:v>
      </x:c>
      <x:c r="B10" s="25" t="str">
        <x:v>Decimal (ha)</x:v>
      </x:c>
      <x:c r="C10" s="31" t="str">
        <x:v>Projected polygon area divided by 10,000.</x:v>
      </x:c>
    </x:row>
    <x:row r="11" ht="38" customHeight="1">
      <x:c r="A11" s="50" t="str">
        <x:v>geometry</x:v>
      </x:c>
      <x:c r="B11" s="33" t="str">
        <x:v>Polygon geometry</x:v>
      </x:c>
      <x:c r="C11" s="34" t="str">
        <x:v>Prepared Juba segment polygon geometry.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294c7c364ad4c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8" hidden="0" customWidth="1"/>
    <x:col min="3" max="3" width="78" hidden="0" customWidth="1"/>
  </x:cols>
  <x:sheetData>
    <x:row r="1" ht="34" customHeight="1">
      <x:c r="A1" s="3" t="str">
        <x:v>Sources, Scope, and Interpretation Notes</x:v>
      </x:c>
      <x:c r="B1" s="3" t="str">
        <x:v>Sources, Scope, and Interpretation Notes</x:v>
      </x:c>
      <x:c r="C1" s="3" t="str">
        <x:v>Sources, Scope, and Interpretation Notes</x:v>
      </x:c>
    </x:row>
    <x:row r="3" ht="28" customHeight="1">
      <x:c r="A3" s="27" t="str">
        <x:v>Topic</x:v>
      </x:c>
      <x:c r="B3" s="28" t="str">
        <x:v>Reference</x:v>
      </x:c>
      <x:c r="C3" s="29" t="str">
        <x:v>Note</x:v>
      </x:c>
    </x:row>
    <x:row r="4" ht="46" customHeight="1">
      <x:c r="A4" s="49" t="str">
        <x:v>Field calculations</x:v>
      </x:c>
      <x:c r="B4" s="25" t="str">
        <x:v>/Users/ggy1/Documents/wb_buildings/scripts/analyze_segment_meta.py</x:v>
      </x:c>
      <x:c r="C4" s="31" t="str">
        <x:v>Source code for review metrics, WSF zonal metrics, city thresholds, percentile indexes, and priority classes.</x:v>
      </x:c>
    </x:row>
    <x:row r="5" ht="46" customHeight="1">
      <x:c r="A5" s="49" t="str">
        <x:v>Portfolio segment preparation</x:v>
      </x:c>
      <x:c r="B5" s="25" t="str">
        <x:v>/Users/ggy1/Documents/wb_buildings/scripts/prepare_city_portfolio.py</x:v>
      </x:c>
      <x:c r="C5" s="31" t="str">
        <x:v>Source code for ANALYSIS_ID, SEGMENT_UID, CANONICAL_CITY, and analysis_area_ha.</x:v>
      </x:c>
    </x:row>
    <x:row r="6" ht="46" customHeight="1">
      <x:c r="A6" s="49" t="str">
        <x:v>Building assignment and geometry review</x:v>
      </x:c>
      <x:c r="B6" s="25" t="str">
        <x:v>/Users/ggy1/Documents/wb_buildings/scripts/process_portfolio_city_vectors.py</x:v>
      </x:c>
      <x:c r="C6" s="31" t="str">
        <x:v>Source code for point-on-surface segment assignment and geometry-confidence logic.</x:v>
      </x:c>
    </x:row>
    <x:row r="7" ht="46" customHeight="1">
      <x:c r="A7" s="49" t="str">
        <x:v>Height review and raster summaries</x:v>
      </x:c>
      <x:c r="B7" s="25" t="str">
        <x:v>/Users/ggy1/Documents/wb_buildings/scripts/process_portfolio_city_rasters.py</x:v>
      </x:c>
      <x:c r="C7" s="31" t="str">
        <x:v>Source code for height-source counts, height ranges, review_required, and segment raster summaries.</x:v>
      </x:c>
    </x:row>
    <x:row r="8" ht="46" customHeight="1">
      <x:c r="A8" s="49" t="str">
        <x:v>Method documentation</x:v>
      </x:c>
      <x:c r="B8" s="25" t="str">
        <x:v>/Users/ggy1/Documents/wb_buildings/outputs/meta_analysis/README.md</x:v>
      </x:c>
      <x:c r="C8" s="31" t="str">
        <x:v>Human-readable overview of the 93-city segment meta-analysis.</x:v>
      </x:c>
    </x:row>
    <x:row r="9" ht="46" customHeight="1">
      <x:c r="A9" s="49" t="str">
        <x:v>Raw Juba preparation</x:v>
      </x:c>
      <x:c r="B9" s="25" t="str">
        <x:v>/Users/ggy1/Documents/wb_buildings/scripts/prepare_juba_expanded.py</x:v>
      </x:c>
      <x:c r="C9" s="31" t="str">
        <x:v>Source code for the prepared expanded Juba segment layer.</x:v>
      </x:c>
    </x:row>
    <x:row r="10" ht="46" customHeight="1">
      <x:c r="A10" s="49" t="str">
        <x:v>Spatial granularity</x:v>
      </x:c>
      <x:c r="B10" s="25" t="str">
        <x:v>30 m raster cell centers</x:v>
      </x:c>
      <x:c r="C10" s="31" t="str">
        <x:v>Segment WSF measures use cell-centre assignment, giving approximately 30 m positional granularity near boundaries.</x:v>
      </x:c>
    </x:row>
    <x:row r="11" ht="46" customHeight="1">
      <x:c r="A11" s="50" t="str">
        <x:v>Interpretation caution</x:v>
      </x:c>
      <x:c r="B11" s="33" t="str">
        <x:v>WSF2019 gap signal</x:v>
      </x:c>
      <x:c r="C11" s="34" t="str">
        <x:v>A prioritization screen, not direct proof of missing buildings; roads, yards, paved facilities, temporal differences, and source errors can contribute.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0a7286a64bbd4890"/>
  </x:tableParts>
</x:worksheet>
</file>